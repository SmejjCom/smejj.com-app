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512GB Server Vergleich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<sst xmlns="http://schemas.openxmlformats.org/spreadsheetml/2006/main" count="151" uniqueCount="97">
  <si>
    <t xml:space="preserve">Dedicated Server mit 512 GB RAM – Markt-Vergleich (Stand 19.06.2026, Preise ohne Gewähr)</t>
  </si>
  <si>
    <t xml:space="preserve">Zweck: Nex N2 Pro Q4 (CPU-only, ~240 GB Modell). Entscheidend ist die RAM-Bandbreite: EPYC (8–12 DDR-Kanäle) &gt;&gt; alte Dual-Xeon (4 Kanäle) &gt;&gt; DDR3. Preise teils USD, teils EUR – Spalte 'ca. USD' normalisiert (EUR×1,08). Setup/VAT/Verfügbarkeit immer im Warenkorb prüfen.</t>
  </si>
  <si>
    <t xml:space="preserve">Rang</t>
  </si>
  <si>
    <t xml:space="preserve">Anbieter</t>
  </si>
  <si>
    <t xml:space="preserve">Standort</t>
  </si>
  <si>
    <t xml:space="preserve">CPU</t>
  </si>
  <si>
    <t xml:space="preserve">Kerne</t>
  </si>
  <si>
    <t xml:space="preserve">RAM</t>
  </si>
  <si>
    <t xml:space="preserve">RAM-Typ</t>
  </si>
  <si>
    <t xml:space="preserve">Storage</t>
  </si>
  <si>
    <t xml:space="preserve">Preis/Mon.</t>
  </si>
  <si>
    <t xml:space="preserve">ca. USD</t>
  </si>
  <si>
    <t xml:space="preserve">Inferenz-Eignung</t>
  </si>
  <si>
    <t xml:space="preserve">Hinweis</t>
  </si>
  <si>
    <t xml:space="preserve">Bacloud</t>
  </si>
  <si>
    <t xml:space="preserve">Litauen (EU)</t>
  </si>
  <si>
    <t xml:space="preserve">Dual Xeon E5 v3/v4 o. Scalable</t>
  </si>
  <si>
    <t xml:space="preserve">bis 44</t>
  </si>
  <si>
    <t xml:space="preserve">512 GB</t>
  </si>
  <si>
    <t xml:space="preserve">DDR4</t>
  </si>
  <si>
    <t xml:space="preserve">6× SSD</t>
  </si>
  <si>
    <t xml:space="preserve">Niedrig-Mittel</t>
  </si>
  <si>
    <t xml:space="preserve">Listenpreis = Basiskonfig; 512 GB im Konfigurator real ~€200–300. Billigste EU-Option, monatlich.</t>
  </si>
  <si>
    <t xml:space="preserve">iWebFusion</t>
  </si>
  <si>
    <t xml:space="preserve">USA</t>
  </si>
  <si>
    <t xml:space="preserve">Quad Xeon E5-4650v2</t>
  </si>
  <si>
    <t xml:space="preserve">40</t>
  </si>
  <si>
    <t xml:space="preserve">DDR3</t>
  </si>
  <si>
    <t xml:space="preserve">2 TB SSD</t>
  </si>
  <si>
    <t xml:space="preserve">Niedrig</t>
  </si>
  <si>
    <t xml:space="preserve">Billigster Fund – alte DDR3-Plattform, langsame Inferenz. Nur zum Testen.</t>
  </si>
  <si>
    <t xml:space="preserve">Dual Xeon E5-2699 v3</t>
  </si>
  <si>
    <t xml:space="preserve">36</t>
  </si>
  <si>
    <t xml:space="preserve">1 TB SSD + 4 TB NVMe</t>
  </si>
  <si>
    <t xml:space="preserve">+$10 = E5-2699 v4. Günstig, aber alte 4-Kanal-Xeon. Test-/Budget-Option.</t>
  </si>
  <si>
    <t xml:space="preserve">ReliableSite (LET)</t>
  </si>
  <si>
    <t xml:space="preserve">USA (NYC/MIA/LA)</t>
  </si>
  <si>
    <t xml:space="preserve">Dual AMD EPYC 7502</t>
  </si>
  <si>
    <t xml:space="preserve">64</t>
  </si>
  <si>
    <t xml:space="preserve">2× 1.92 TB NVMe</t>
  </si>
  <si>
    <t xml:space="preserve">Hoch</t>
  </si>
  <si>
    <t xml:space="preserve">Bestes Preis/Leistung für CPU-Inferenz. Forum-Angebot – Verfügbarkeit &amp; Reviews prüfen (gemischt).</t>
  </si>
  <si>
    <t xml:space="preserve">Dual Xeon Platinum 8268</t>
  </si>
  <si>
    <t xml:space="preserve">48</t>
  </si>
  <si>
    <t xml:space="preserve">2 TB NVMe</t>
  </si>
  <si>
    <t xml:space="preserve">Mittel-Hoch</t>
  </si>
  <si>
    <t xml:space="preserve">Intel Scalable (6-Kanal), schneller als E5. Solider offizieller Fund.</t>
  </si>
  <si>
    <t xml:space="preserve">AMD EPYC 7443P</t>
  </si>
  <si>
    <t xml:space="preserve">24</t>
  </si>
  <si>
    <t xml:space="preserve">2× 2 TB NVMe</t>
  </si>
  <si>
    <t xml:space="preserve">Moderne 8-Kanal-Plattform, wenige Kerne aber hohe Bandbreite.</t>
  </si>
  <si>
    <t xml:space="preserve">AMD EPYC 7662</t>
  </si>
  <si>
    <t xml:space="preserve">SWEET SPOT: 64 Kerne, 8-Kanal DDR4, NVMe, offiziell gelistet.</t>
  </si>
  <si>
    <t xml:space="preserve">Subhosting</t>
  </si>
  <si>
    <t xml:space="preserve">USA (verm.)</t>
  </si>
  <si>
    <t xml:space="preserve">Dual Xeon Gold</t>
  </si>
  <si>
    <t xml:space="preserve">4× 1.6 TB SSD</t>
  </si>
  <si>
    <t xml:space="preserve">Okay, aber weniger attraktiv als EPYC zum selben Preis.</t>
  </si>
  <si>
    <t xml:space="preserve">ServerMO</t>
  </si>
  <si>
    <t xml:space="preserve">Arizona, USA</t>
  </si>
  <si>
    <t xml:space="preserve">Quad Xeon E7-8880 v2</t>
  </si>
  <si>
    <t xml:space="preserve">60</t>
  </si>
  <si>
    <t xml:space="preserve">1 TB SSD</t>
  </si>
  <si>
    <t xml:space="preserve">DDR3 – für Inferenz vermeiden, trotz vieler Kerne langsam.</t>
  </si>
  <si>
    <t xml:space="preserve">HostKey</t>
  </si>
  <si>
    <t xml:space="preserve">EU / USA</t>
  </si>
  <si>
    <t xml:space="preserve">AMD EPYC 9354</t>
  </si>
  <si>
    <t xml:space="preserve">32</t>
  </si>
  <si>
    <t xml:space="preserve">768 GB</t>
  </si>
  <si>
    <t xml:space="preserve">DDR5</t>
  </si>
  <si>
    <t xml:space="preserve">2× 3.84 TB NVMe</t>
  </si>
  <si>
    <t xml:space="preserve">Sehr hoch</t>
  </si>
  <si>
    <t xml:space="preserve">Beste ernsthafte Wahl: DDR5/12-Kanal, mehr RAM, 10 Gbps. Modern &amp; stabil.</t>
  </si>
  <si>
    <t xml:space="preserve">AMD EPYC 9654 (Genoa)</t>
  </si>
  <si>
    <t xml:space="preserve">96</t>
  </si>
  <si>
    <t xml:space="preserve">2× 4 TB NVMe</t>
  </si>
  <si>
    <t xml:space="preserve">Beste RAM-Bandbreite im Vergleich (12-Kanal DDR5). Premium, aber top für Inferenz.</t>
  </si>
  <si>
    <t xml:space="preserve">HostColor</t>
  </si>
  <si>
    <t xml:space="preserve">Ashburn, USA</t>
  </si>
  <si>
    <t xml:space="preserve">Gleiche Klasse wie iWebFusion 7662, aber doppelter Preis.</t>
  </si>
  <si>
    <t xml:space="preserve">AMD EPYC 9754 (Bergamo)</t>
  </si>
  <si>
    <t xml:space="preserve">128</t>
  </si>
  <si>
    <t xml:space="preserve">Maximale Kernzahl + DDR5. Overkill für 512 GB, aber sehr schnell.</t>
  </si>
  <si>
    <t xml:space="preserve">Dual AMD EPYC 7502P</t>
  </si>
  <si>
    <t xml:space="preserve">2× 7.68 TB SSD</t>
  </si>
  <si>
    <t xml:space="preserve">Viel Storage, aber teuerste Option der Liste.</t>
  </si>
  <si>
    <t xml:space="preserve">Empfehlung</t>
  </si>
  <si>
    <t xml:space="preserve">Testkiste (billig):</t>
  </si>
  <si>
    <t xml:space="preserve">iWebFusion Dual E5-2699 v3 – $165. Nur zum Experimentieren; alte 4-Kanal-Xeon = langsam.</t>
  </si>
  <si>
    <t xml:space="preserve">Bester günstiger Kompromiss:</t>
  </si>
  <si>
    <t xml:space="preserve">iWebFusion EPYC 7662 – $299. 512 GB, NVMe, moderne 8-Kanal-Plattform, offiziell gelistet.</t>
  </si>
  <si>
    <t xml:space="preserve">Beste ernsthafte Wahl:</t>
  </si>
  <si>
    <t xml:space="preserve">HostKey EPYC 9354 / 768 GB / €299. Modernes DDR5, mehr RAM, am attraktivsten für CPU-Inferenz.</t>
  </si>
  <si>
    <t xml:space="preserve">Maximale Geschwindigkeit:</t>
  </si>
  <si>
    <t xml:space="preserve">iWebFusion EPYC 9654 / DDR5 – $599. Höchste RAM-Bandbreite, wenn Speed wichtiger als Preis.</t>
  </si>
  <si>
    <t xml:space="preserve">Vermeiden:</t>
  </si>
  <si>
    <t xml:space="preserve">ServerMO / iWebFusion Quad E5-4650v2 – DDR3-Plattformen sind für Inferenz zu langsam.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</si>
</sst>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€#,##0"/>
    <numFmt numFmtId="166" formatCode="\$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E5496"/>
        <bgColor rgb="FF1F3864"/>
      </patternFill>
    </fill>
    <fill>
      <patternFill patternType="solid">
        <fgColor rgb="FFFCE4D6"/>
        <bgColor rgb="FFFFF2CC"/>
      </patternFill>
    </fill>
    <fill>
      <patternFill patternType="solid">
        <fgColor rgb="FFEAF0FA"/>
        <bgColor rgb="FFFFFFFF"/>
      </patternFill>
    </fill>
    <fill>
      <patternFill patternType="solid">
        <fgColor rgb="FFF4CCCC"/>
        <bgColor rgb="FFFCE4D6"/>
      </patternFill>
    </fill>
    <fill>
      <patternFill patternType="solid">
        <fgColor rgb="FFD9EAD3"/>
        <bgColor rgb="FFC6EFCE"/>
      </patternFill>
    </fill>
    <fill>
      <patternFill patternType="solid">
        <fgColor rgb="FFFFF2CC"/>
        <bgColor rgb="FFFCE4D6"/>
      </patternFill>
    </fill>
    <fill>
      <patternFill patternType="solid">
        <fgColor rgb="FFC6EFCE"/>
        <bgColor rgb="FFD9EAD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AF0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AD3"/>
      <rgbColor rgb="FFC6EFCE"/>
      <rgbColor rgb="FFFCE4D6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24"/>
    <col collapsed="false" customWidth="true" hidden="false" outlineLevel="0" max="5" min="5" style="0" width="7"/>
    <col collapsed="false" customWidth="true" hidden="false" outlineLevel="0" max="7" min="6" style="0" width="9"/>
    <col collapsed="false" customWidth="true" hidden="false" outlineLevel="0" max="8" min="8" style="0" width="22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1" min="11" style="0" width="15"/>
    <col collapsed="false" customWidth="true" hidden="false" outlineLevel="0" max="12" min="12" style="0" width="46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42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customFormat="false" ht="22.35" hidden="false" customHeight="false" outlineLevel="0" collapsed="false">
      <c r="A4" s="4" t="n">
        <v>1</v>
      </c>
      <c r="B4" s="5" t="s">
        <v>14</v>
      </c>
      <c r="C4" s="5" t="s">
        <v>15</v>
      </c>
      <c r="D4" s="6" t="s">
        <v>16</v>
      </c>
      <c r="E4" s="5" t="s">
        <v>17</v>
      </c>
      <c r="F4" s="5" t="s">
        <v>18</v>
      </c>
      <c r="G4" s="5" t="s">
        <v>19</v>
      </c>
      <c r="H4" s="6" t="s">
        <v>20</v>
      </c>
      <c r="I4" s="7" t="n">
        <v>117</v>
      </c>
      <c r="J4" s="8" t="n">
        <f aca="false">IF("EUR"="EUR",I4*1.08,I4)</f>
        <v>126.36</v>
      </c>
      <c r="K4" s="9" t="s">
        <v>21</v>
      </c>
      <c r="L4" s="6" t="s">
        <v>22</v>
      </c>
    </row>
    <row r="5" customFormat="false" ht="22.35" hidden="false" customHeight="false" outlineLevel="0" collapsed="false">
      <c r="A5" s="10" t="n">
        <v>2</v>
      </c>
      <c r="B5" s="11" t="s">
        <v>23</v>
      </c>
      <c r="C5" s="11" t="s">
        <v>24</v>
      </c>
      <c r="D5" s="12" t="s">
        <v>25</v>
      </c>
      <c r="E5" s="11" t="s">
        <v>26</v>
      </c>
      <c r="F5" s="11" t="s">
        <v>18</v>
      </c>
      <c r="G5" s="11" t="s">
        <v>27</v>
      </c>
      <c r="H5" s="12" t="s">
        <v>28</v>
      </c>
      <c r="I5" s="13" t="n">
        <v>152</v>
      </c>
      <c r="J5" s="13" t="n">
        <f aca="false">IF("USD"="EUR",I5*1.08,I5)</f>
        <v>152</v>
      </c>
      <c r="K5" s="14" t="s">
        <v>29</v>
      </c>
      <c r="L5" s="12" t="s">
        <v>30</v>
      </c>
    </row>
    <row r="6" customFormat="false" ht="22.35" hidden="false" customHeight="false" outlineLevel="0" collapsed="false">
      <c r="A6" s="4" t="n">
        <v>3</v>
      </c>
      <c r="B6" s="5" t="s">
        <v>23</v>
      </c>
      <c r="C6" s="5" t="s">
        <v>24</v>
      </c>
      <c r="D6" s="6" t="s">
        <v>31</v>
      </c>
      <c r="E6" s="5" t="s">
        <v>32</v>
      </c>
      <c r="F6" s="5" t="s">
        <v>18</v>
      </c>
      <c r="G6" s="5" t="s">
        <v>19</v>
      </c>
      <c r="H6" s="6" t="s">
        <v>33</v>
      </c>
      <c r="I6" s="8" t="n">
        <v>165</v>
      </c>
      <c r="J6" s="8" t="n">
        <f aca="false">IF("USD"="EUR",I6*1.08,I6)</f>
        <v>165</v>
      </c>
      <c r="K6" s="9" t="s">
        <v>21</v>
      </c>
      <c r="L6" s="6" t="s">
        <v>34</v>
      </c>
    </row>
    <row r="7" customFormat="false" ht="22.35" hidden="false" customHeight="false" outlineLevel="0" collapsed="false">
      <c r="A7" s="10" t="n">
        <v>4</v>
      </c>
      <c r="B7" s="11" t="s">
        <v>35</v>
      </c>
      <c r="C7" s="11" t="s">
        <v>36</v>
      </c>
      <c r="D7" s="12" t="s">
        <v>37</v>
      </c>
      <c r="E7" s="11" t="s">
        <v>38</v>
      </c>
      <c r="F7" s="11" t="s">
        <v>18</v>
      </c>
      <c r="G7" s="11" t="s">
        <v>19</v>
      </c>
      <c r="H7" s="12" t="s">
        <v>39</v>
      </c>
      <c r="I7" s="13" t="n">
        <v>229</v>
      </c>
      <c r="J7" s="13" t="n">
        <f aca="false">IF("USD"="EUR",I7*1.08,I7)</f>
        <v>229</v>
      </c>
      <c r="K7" s="15" t="s">
        <v>40</v>
      </c>
      <c r="L7" s="12" t="s">
        <v>41</v>
      </c>
    </row>
    <row r="8" customFormat="false" ht="22.35" hidden="false" customHeight="false" outlineLevel="0" collapsed="false">
      <c r="A8" s="4" t="n">
        <v>5</v>
      </c>
      <c r="B8" s="5" t="s">
        <v>23</v>
      </c>
      <c r="C8" s="5" t="s">
        <v>24</v>
      </c>
      <c r="D8" s="6" t="s">
        <v>42</v>
      </c>
      <c r="E8" s="5" t="s">
        <v>43</v>
      </c>
      <c r="F8" s="5" t="s">
        <v>18</v>
      </c>
      <c r="G8" s="5" t="s">
        <v>19</v>
      </c>
      <c r="H8" s="6" t="s">
        <v>44</v>
      </c>
      <c r="I8" s="8" t="n">
        <v>239</v>
      </c>
      <c r="J8" s="8" t="n">
        <f aca="false">IF("USD"="EUR",I8*1.08,I8)</f>
        <v>239</v>
      </c>
      <c r="K8" s="16" t="s">
        <v>45</v>
      </c>
      <c r="L8" s="6" t="s">
        <v>46</v>
      </c>
    </row>
    <row r="9" customFormat="false" ht="22.35" hidden="false" customHeight="false" outlineLevel="0" collapsed="false">
      <c r="A9" s="10" t="n">
        <v>6</v>
      </c>
      <c r="B9" s="11" t="s">
        <v>23</v>
      </c>
      <c r="C9" s="11" t="s">
        <v>24</v>
      </c>
      <c r="D9" s="12" t="s">
        <v>47</v>
      </c>
      <c r="E9" s="11" t="s">
        <v>48</v>
      </c>
      <c r="F9" s="11" t="s">
        <v>18</v>
      </c>
      <c r="G9" s="11" t="s">
        <v>19</v>
      </c>
      <c r="H9" s="12" t="s">
        <v>49</v>
      </c>
      <c r="I9" s="13" t="n">
        <v>299</v>
      </c>
      <c r="J9" s="13" t="n">
        <f aca="false">IF("USD"="EUR",I9*1.08,I9)</f>
        <v>299</v>
      </c>
      <c r="K9" s="15" t="s">
        <v>40</v>
      </c>
      <c r="L9" s="12" t="s">
        <v>50</v>
      </c>
    </row>
    <row r="10" customFormat="false" ht="22.35" hidden="false" customHeight="false" outlineLevel="0" collapsed="false">
      <c r="A10" s="4" t="n">
        <v>7</v>
      </c>
      <c r="B10" s="5" t="s">
        <v>23</v>
      </c>
      <c r="C10" s="5" t="s">
        <v>24</v>
      </c>
      <c r="D10" s="6" t="s">
        <v>51</v>
      </c>
      <c r="E10" s="5" t="s">
        <v>38</v>
      </c>
      <c r="F10" s="5" t="s">
        <v>18</v>
      </c>
      <c r="G10" s="5" t="s">
        <v>19</v>
      </c>
      <c r="H10" s="6" t="s">
        <v>49</v>
      </c>
      <c r="I10" s="8" t="n">
        <v>299</v>
      </c>
      <c r="J10" s="8" t="n">
        <f aca="false">IF("USD"="EUR",I10*1.08,I10)</f>
        <v>299</v>
      </c>
      <c r="K10" s="15" t="s">
        <v>40</v>
      </c>
      <c r="L10" s="6" t="s">
        <v>52</v>
      </c>
    </row>
    <row r="11" customFormat="false" ht="15" hidden="false" customHeight="false" outlineLevel="0" collapsed="false">
      <c r="A11" s="10" t="n">
        <v>8</v>
      </c>
      <c r="B11" s="11" t="s">
        <v>53</v>
      </c>
      <c r="C11" s="11" t="s">
        <v>54</v>
      </c>
      <c r="D11" s="12" t="s">
        <v>55</v>
      </c>
      <c r="E11" s="11" t="s">
        <v>26</v>
      </c>
      <c r="F11" s="11" t="s">
        <v>18</v>
      </c>
      <c r="G11" s="11" t="s">
        <v>19</v>
      </c>
      <c r="H11" s="12" t="s">
        <v>56</v>
      </c>
      <c r="I11" s="13" t="n">
        <v>299</v>
      </c>
      <c r="J11" s="13" t="n">
        <f aca="false">IF("USD"="EUR",I11*1.08,I11)</f>
        <v>299</v>
      </c>
      <c r="K11" s="16" t="s">
        <v>45</v>
      </c>
      <c r="L11" s="12" t="s">
        <v>57</v>
      </c>
    </row>
    <row r="12" customFormat="false" ht="15" hidden="false" customHeight="false" outlineLevel="0" collapsed="false">
      <c r="A12" s="4" t="n">
        <v>9</v>
      </c>
      <c r="B12" s="5" t="s">
        <v>58</v>
      </c>
      <c r="C12" s="5" t="s">
        <v>59</v>
      </c>
      <c r="D12" s="6" t="s">
        <v>60</v>
      </c>
      <c r="E12" s="5" t="s">
        <v>61</v>
      </c>
      <c r="F12" s="5" t="s">
        <v>18</v>
      </c>
      <c r="G12" s="5" t="s">
        <v>27</v>
      </c>
      <c r="H12" s="6" t="s">
        <v>62</v>
      </c>
      <c r="I12" s="8" t="n">
        <v>300</v>
      </c>
      <c r="J12" s="8" t="n">
        <f aca="false">IF("USD"="EUR",I12*1.08,I12)</f>
        <v>300</v>
      </c>
      <c r="K12" s="14" t="s">
        <v>29</v>
      </c>
      <c r="L12" s="6" t="s">
        <v>63</v>
      </c>
    </row>
    <row r="13" customFormat="false" ht="22.35" hidden="false" customHeight="false" outlineLevel="0" collapsed="false">
      <c r="A13" s="10" t="n">
        <v>10</v>
      </c>
      <c r="B13" s="11" t="s">
        <v>64</v>
      </c>
      <c r="C13" s="11" t="s">
        <v>65</v>
      </c>
      <c r="D13" s="12" t="s">
        <v>66</v>
      </c>
      <c r="E13" s="11" t="s">
        <v>67</v>
      </c>
      <c r="F13" s="11" t="s">
        <v>68</v>
      </c>
      <c r="G13" s="11" t="s">
        <v>69</v>
      </c>
      <c r="H13" s="12" t="s">
        <v>70</v>
      </c>
      <c r="I13" s="17" t="n">
        <v>299</v>
      </c>
      <c r="J13" s="13" t="n">
        <f aca="false">IF("EUR"="EUR",I13*1.08,I13)</f>
        <v>322.92</v>
      </c>
      <c r="K13" s="18" t="s">
        <v>71</v>
      </c>
      <c r="L13" s="12" t="s">
        <v>72</v>
      </c>
    </row>
    <row r="14" customFormat="false" ht="22.35" hidden="false" customHeight="false" outlineLevel="0" collapsed="false">
      <c r="A14" s="4" t="n">
        <v>11</v>
      </c>
      <c r="B14" s="5" t="s">
        <v>23</v>
      </c>
      <c r="C14" s="5" t="s">
        <v>24</v>
      </c>
      <c r="D14" s="6" t="s">
        <v>73</v>
      </c>
      <c r="E14" s="5" t="s">
        <v>74</v>
      </c>
      <c r="F14" s="5" t="s">
        <v>18</v>
      </c>
      <c r="G14" s="5" t="s">
        <v>69</v>
      </c>
      <c r="H14" s="6" t="s">
        <v>75</v>
      </c>
      <c r="I14" s="8" t="n">
        <v>599</v>
      </c>
      <c r="J14" s="8" t="n">
        <f aca="false">IF("USD"="EUR",I14*1.08,I14)</f>
        <v>599</v>
      </c>
      <c r="K14" s="18" t="s">
        <v>71</v>
      </c>
      <c r="L14" s="6" t="s">
        <v>76</v>
      </c>
    </row>
    <row r="15" customFormat="false" ht="15" hidden="false" customHeight="false" outlineLevel="0" collapsed="false">
      <c r="A15" s="10" t="n">
        <v>12</v>
      </c>
      <c r="B15" s="11" t="s">
        <v>77</v>
      </c>
      <c r="C15" s="11" t="s">
        <v>78</v>
      </c>
      <c r="D15" s="12" t="s">
        <v>51</v>
      </c>
      <c r="E15" s="11" t="s">
        <v>38</v>
      </c>
      <c r="F15" s="11" t="s">
        <v>18</v>
      </c>
      <c r="G15" s="11" t="s">
        <v>19</v>
      </c>
      <c r="H15" s="12" t="s">
        <v>49</v>
      </c>
      <c r="I15" s="13" t="n">
        <v>599</v>
      </c>
      <c r="J15" s="13" t="n">
        <f aca="false">IF("USD"="EUR",I15*1.08,I15)</f>
        <v>599</v>
      </c>
      <c r="K15" s="15" t="s">
        <v>40</v>
      </c>
      <c r="L15" s="12" t="s">
        <v>79</v>
      </c>
    </row>
    <row r="16" customFormat="false" ht="22.35" hidden="false" customHeight="false" outlineLevel="0" collapsed="false">
      <c r="A16" s="4" t="n">
        <v>13</v>
      </c>
      <c r="B16" s="5" t="s">
        <v>23</v>
      </c>
      <c r="C16" s="5" t="s">
        <v>24</v>
      </c>
      <c r="D16" s="6" t="s">
        <v>80</v>
      </c>
      <c r="E16" s="5" t="s">
        <v>81</v>
      </c>
      <c r="F16" s="5" t="s">
        <v>18</v>
      </c>
      <c r="G16" s="5" t="s">
        <v>69</v>
      </c>
      <c r="H16" s="6" t="s">
        <v>75</v>
      </c>
      <c r="I16" s="8" t="n">
        <v>669</v>
      </c>
      <c r="J16" s="8" t="n">
        <f aca="false">IF("USD"="EUR",I16*1.08,I16)</f>
        <v>669</v>
      </c>
      <c r="K16" s="18" t="s">
        <v>71</v>
      </c>
      <c r="L16" s="6" t="s">
        <v>82</v>
      </c>
    </row>
    <row r="17" customFormat="false" ht="15" hidden="false" customHeight="false" outlineLevel="0" collapsed="false">
      <c r="A17" s="10" t="n">
        <v>14</v>
      </c>
      <c r="B17" s="11" t="s">
        <v>77</v>
      </c>
      <c r="C17" s="11" t="s">
        <v>78</v>
      </c>
      <c r="D17" s="12" t="s">
        <v>83</v>
      </c>
      <c r="E17" s="11" t="s">
        <v>38</v>
      </c>
      <c r="F17" s="11" t="s">
        <v>18</v>
      </c>
      <c r="G17" s="11" t="s">
        <v>19</v>
      </c>
      <c r="H17" s="12" t="s">
        <v>84</v>
      </c>
      <c r="I17" s="13" t="n">
        <v>799</v>
      </c>
      <c r="J17" s="13" t="n">
        <f aca="false">IF("USD"="EUR",I17*1.08,I17)</f>
        <v>799</v>
      </c>
      <c r="K17" s="15" t="s">
        <v>40</v>
      </c>
      <c r="L17" s="12" t="s">
        <v>85</v>
      </c>
    </row>
    <row r="19" customFormat="false" ht="21.75" hidden="false" customHeight="true" outlineLevel="0" collapsed="false">
      <c r="A19" s="19" t="s">
        <v>86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</row>
    <row r="20" customFormat="false" ht="27.75" hidden="false" customHeight="true" outlineLevel="0" collapsed="false">
      <c r="A20" s="20" t="s">
        <v>87</v>
      </c>
      <c r="B20" s="20"/>
      <c r="C20" s="20"/>
      <c r="D20" s="21" t="s">
        <v>88</v>
      </c>
      <c r="E20" s="21"/>
      <c r="F20" s="21"/>
      <c r="G20" s="21"/>
      <c r="H20" s="21"/>
      <c r="I20" s="21"/>
      <c r="J20" s="21"/>
      <c r="K20" s="21"/>
      <c r="L20" s="21"/>
    </row>
    <row r="21" customFormat="false" ht="27.75" hidden="false" customHeight="true" outlineLevel="0" collapsed="false">
      <c r="A21" s="20" t="s">
        <v>89</v>
      </c>
      <c r="B21" s="20"/>
      <c r="C21" s="20"/>
      <c r="D21" s="21" t="s">
        <v>90</v>
      </c>
      <c r="E21" s="21"/>
      <c r="F21" s="21"/>
      <c r="G21" s="21"/>
      <c r="H21" s="21"/>
      <c r="I21" s="21"/>
      <c r="J21" s="21"/>
      <c r="K21" s="21"/>
      <c r="L21" s="21"/>
    </row>
    <row r="22" customFormat="false" ht="27.75" hidden="false" customHeight="true" outlineLevel="0" collapsed="false">
      <c r="A22" s="20" t="s">
        <v>91</v>
      </c>
      <c r="B22" s="20"/>
      <c r="C22" s="20"/>
      <c r="D22" s="21" t="s">
        <v>92</v>
      </c>
      <c r="E22" s="21"/>
      <c r="F22" s="21"/>
      <c r="G22" s="21"/>
      <c r="H22" s="21"/>
      <c r="I22" s="21"/>
      <c r="J22" s="21"/>
      <c r="K22" s="21"/>
      <c r="L22" s="21"/>
    </row>
    <row r="23" customFormat="false" ht="27.75" hidden="false" customHeight="true" outlineLevel="0" collapsed="false">
      <c r="A23" s="20" t="s">
        <v>93</v>
      </c>
      <c r="B23" s="20"/>
      <c r="C23" s="20"/>
      <c r="D23" s="21" t="s">
        <v>94</v>
      </c>
      <c r="E23" s="21"/>
      <c r="F23" s="21"/>
      <c r="G23" s="21"/>
      <c r="H23" s="21"/>
      <c r="I23" s="21"/>
      <c r="J23" s="21"/>
      <c r="K23" s="21"/>
      <c r="L23" s="21"/>
    </row>
    <row r="24" customFormat="false" ht="27.75" hidden="false" customHeight="true" outlineLevel="0" collapsed="false">
      <c r="A24" s="20" t="s">
        <v>95</v>
      </c>
      <c r="B24" s="20"/>
      <c r="C24" s="20"/>
      <c r="D24" s="21" t="s">
        <v>96</v>
      </c>
      <c r="E24" s="21"/>
      <c r="F24" s="21"/>
      <c r="G24" s="21"/>
      <c r="H24" s="21"/>
      <c r="I24" s="21"/>
      <c r="J24" s="21"/>
      <c r="K24" s="21"/>
      <c r="L24" s="21"/>
    </row>
  </sheetData>
  <mergeCells count="13">
    <mergeCell ref="A1:L1"/>
    <mergeCell ref="A2:L2"/>
    <mergeCell ref="A19:L19"/>
    <mergeCell ref="A20:C20"/>
    <mergeCell ref="D20:L20"/>
    <mergeCell ref="A21:C21"/>
    <mergeCell ref="D21:L21"/>
    <mergeCell ref="A22:C22"/>
    <mergeCell ref="D22:L22"/>
    <mergeCell ref="A23:C23"/>
    <mergeCell ref="D23:L23"/>
    <mergeCell ref="A24:C24"/>
    <mergeCell ref="D24:L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2026-06-19T07:24:13Z</dcterms:created>
  <dc:creator>openpyxl</dc:creator>
  <dc:description/>
  <dc:language>en-US</dc:language>
  <cp:lastModifiedBy/>
  <dcterms:modified xsi:type="dcterms:W3CDTF">2026-06-19T07:24:13Z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